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o usar" sheetId="1" state="visible" r:id="rId1"/>
    <sheet name="Estoque" sheetId="2" state="visible" r:id="rId2"/>
    <sheet name="Armários" sheetId="3" state="visible" r:id="rId3"/>
    <sheet name="Gavetas e prateleiras" sheetId="4" state="visible" r:id="rId4"/>
    <sheet name="Listas" sheetId="5" state="visible" r:id="rId5"/>
  </sheets>
  <definedNames>
    <definedName name="_xlnm._FilterDatabase" localSheetId="1" hidden="1">'Estoque'!$A$1:$L$1000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sz val="10"/>
    </font>
    <font>
      <name val="Arial"/>
      <b val="1"/>
      <sz val="16"/>
    </font>
    <font>
      <name val="Arial"/>
      <color rgb="004F8F2C"/>
      <sz val="10"/>
      <u val="single"/>
    </font>
    <font>
      <name val="Arial"/>
      <b val="1"/>
      <sz val="12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70AD47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49" fontId="0" fillId="0" borderId="0" pivotButton="0" quotePrefix="0" xfId="0"/>
    <xf numFmtId="0" fontId="4" fillId="2" borderId="1" applyAlignment="1" pivotButton="0" quotePrefix="0" xfId="0">
      <alignment vertical="center" wrapText="1"/>
    </xf>
    <xf numFmtId="2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/Relationships>
</file>

<file path=xl/worksheets/_rels/sheet1.xml.rels><Relationships xmlns="http://schemas.openxmlformats.org/package/2006/relationships"><Relationship Type="http://schemas.openxmlformats.org/officeDocument/2006/relationships/hyperlink" Target="https://bliss-vital.github.io/armarios-neon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3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1" t="inlineStr">
        <is>
          <t>Estoque do laboratório NEON</t>
        </is>
      </c>
    </row>
    <row r="2">
      <c r="B2" s="2" t="inlineStr">
        <is>
          <t>Esta planilha alimenta o modelo 3D dos armários: https://bliss-vital.github.io/armarios-neon/</t>
        </is>
      </c>
    </row>
    <row r="3">
      <c r="B3" s="3" t="inlineStr"/>
    </row>
    <row r="4">
      <c r="B4" s="4" t="inlineStr">
        <is>
          <t>Como cadastrar um item</t>
        </is>
      </c>
    </row>
    <row r="5">
      <c r="B5" s="3" t="inlineStr">
        <is>
          <t>1. Na aba Estoque, escreva uma linha por item. As colunas Armário e Local no armário dizem onde ele está.</t>
        </is>
      </c>
    </row>
    <row r="6">
      <c r="B6" s="3" t="inlineStr">
        <is>
          <t>2. Local no armário é o código da gaveta ou prateleira: G1 é a gaveta 1, P2 é a prateleira 2 e P2B é a divisão B da prateleira 2.</t>
        </is>
      </c>
    </row>
    <row r="7">
      <c r="B7" s="3" t="inlineStr">
        <is>
          <t xml:space="preserve">    As gavetas e as prateleiras são contadas de cima para baixo, cada tipo separado. Os códigos de cada armário estão na aba Gavetas e prateleiras.</t>
        </is>
      </c>
    </row>
    <row r="8">
      <c r="B8" s="3" t="inlineStr">
        <is>
          <t>3. Em Qtd, escreva só o número (10, não "10 un"). A unidade vai na coluna ao lado.</t>
        </is>
      </c>
    </row>
    <row r="9">
      <c r="B9" s="3" t="inlineStr">
        <is>
          <t>4. O site lê a planilha sozinho a cada minuto. Para ver na hora, clique em Atualizar no site.</t>
        </is>
      </c>
    </row>
    <row r="10">
      <c r="B10" s="3" t="inlineStr"/>
    </row>
    <row r="11">
      <c r="B11" s="4" t="inlineStr">
        <is>
          <t>Exemplo de linha na aba Estoque</t>
        </is>
      </c>
    </row>
    <row r="12">
      <c r="B12" s="3" t="inlineStr">
        <is>
          <t>Armário 2  |  G1  |  Eletrônica  |  Conectores  |  XT60 fêmea  |  Amass, original  |  10  |  un  |  Novo  |  (vazio)  |  24/10/2026  |  (vazio)</t>
        </is>
      </c>
    </row>
    <row r="13">
      <c r="B13" s="3" t="inlineStr"/>
    </row>
    <row r="14">
      <c r="B14" s="4" t="inlineStr">
        <is>
          <t>Como mudar um armário no modelo</t>
        </is>
      </c>
    </row>
    <row r="15">
      <c r="B15" s="3" t="inlineStr">
        <is>
          <t>• Aba Armários: largura, altura e fundo em metros, e a posição no laboratório (X e Z em metros, a partir de um canto) com o giro em graus (0, 90, 180 ou 270).</t>
        </is>
      </c>
    </row>
    <row r="16">
      <c r="B16" s="3" t="inlineStr">
        <is>
          <t>• Aba Gavetas e prateleiras: uma linha por nível, de cima para baixo. Divisões separa o nível em colunas (2 divisões viram P1A e P1B).</t>
        </is>
      </c>
    </row>
    <row r="17">
      <c r="B17" s="3" t="inlineStr">
        <is>
          <t>• As medidas e os níveis que já estão lá são um ponto de partida. Troque pelos do laboratório.</t>
        </is>
      </c>
    </row>
    <row r="18">
      <c r="B18" s="3" t="inlineStr">
        <is>
          <t>• Para cadastrar um armário novo, acrescente uma linha na aba Armários e o nome dele na aba Listas.</t>
        </is>
      </c>
    </row>
    <row r="19">
      <c r="B19" s="3" t="inlineStr"/>
    </row>
    <row r="20">
      <c r="B20" s="4" t="inlineStr">
        <is>
          <t>Células</t>
        </is>
      </c>
    </row>
    <row r="21">
      <c r="B21" s="3" t="inlineStr">
        <is>
          <t>Células brancas: preenchidas por vocês. Células cinza (coluna Código da aba Gavetas e prateleiras): calculadas pela planilha, não escreva nelas.</t>
        </is>
      </c>
    </row>
    <row r="22">
      <c r="B22" s="3" t="inlineStr">
        <is>
          <t>A coluna Código mostra o código de cada nível. Com 2 ou mais divisões, acrescente a letra: P2 com 2 divisões vira P2A e P2B.</t>
        </is>
      </c>
    </row>
    <row r="23">
      <c r="B23" s="3" t="inlineStr">
        <is>
          <t>Não mude os nomes das abas nem os títulos das colunas: o site procura por eles.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style="5" min="2" max="2"/>
    <col width="15" customWidth="1" min="3" max="3"/>
    <col width="26" customWidth="1" min="4" max="4"/>
    <col width="28" customWidth="1" min="5" max="5"/>
    <col width="28" customWidth="1" min="6" max="6"/>
    <col width="7" customWidth="1" min="7" max="7"/>
    <col width="8" customWidth="1" min="8" max="8"/>
    <col width="18" customWidth="1" min="9" max="9"/>
    <col width="18" customWidth="1" min="10" max="10"/>
    <col width="13" customWidth="1" min="11" max="11"/>
    <col width="30" customWidth="1" min="12" max="12"/>
  </cols>
  <sheetData>
    <row r="1" ht="30" customHeight="1">
      <c r="A1" s="6" t="inlineStr">
        <is>
          <t>Armário</t>
        </is>
      </c>
      <c r="B1" s="6" t="inlineStr">
        <is>
          <t>Local no armário</t>
        </is>
      </c>
      <c r="C1" s="6" t="inlineStr">
        <is>
          <t>Classificação</t>
        </is>
      </c>
      <c r="D1" s="6" t="inlineStr">
        <is>
          <t>Categoria</t>
        </is>
      </c>
      <c r="E1" s="6" t="inlineStr">
        <is>
          <t>Item</t>
        </is>
      </c>
      <c r="F1" s="6" t="inlineStr">
        <is>
          <t>Especificação / modelo</t>
        </is>
      </c>
      <c r="G1" s="6" t="inlineStr">
        <is>
          <t>Qtd</t>
        </is>
      </c>
      <c r="H1" s="6" t="inlineStr">
        <is>
          <t>Unid.</t>
        </is>
      </c>
      <c r="I1" s="6" t="inlineStr">
        <is>
          <t>Estado</t>
        </is>
      </c>
      <c r="J1" s="6" t="inlineStr">
        <is>
          <t>Projeto de origem</t>
        </is>
      </c>
      <c r="K1" s="6" t="inlineStr">
        <is>
          <t>Conferido em</t>
        </is>
      </c>
      <c r="L1" s="6" t="inlineStr">
        <is>
          <t>Observações</t>
        </is>
      </c>
    </row>
  </sheetData>
  <autoFilter ref="A1:L1000"/>
  <dataValidations count="5">
    <dataValidation sqref="A2:A1000" showDropDown="0" showInputMessage="0" showErrorMessage="1" allowBlank="1" errorTitle="Valor fora da lista" error="Escolha uma opção da lista. As opções ficam na aba Listas." type="list">
      <formula1>=Listas!$A$2:$A$30</formula1>
    </dataValidation>
    <dataValidation sqref="C2:C1000" showDropDown="0" showInputMessage="0" showErrorMessage="1" allowBlank="1" errorTitle="Valor fora da lista" error="Escolha uma opção da lista. As opções ficam na aba Listas." type="list">
      <formula1>=Listas!$B$2:$B$30</formula1>
    </dataValidation>
    <dataValidation sqref="D2:D1000" showDropDown="0" showInputMessage="0" showErrorMessage="1" allowBlank="1" errorTitle="Valor fora da lista" error="Escolha uma opção da lista. As opções ficam na aba Listas." type="list">
      <formula1>=Listas!$C$2:$C$40</formula1>
    </dataValidation>
    <dataValidation sqref="H2:H1000" showDropDown="0" showInputMessage="0" showErrorMessage="1" allowBlank="1" errorTitle="Valor fora da lista" error="Escolha uma opção da lista. As opções ficam na aba Listas." type="list">
      <formula1>=Listas!$E$2:$E$30</formula1>
    </dataValidation>
    <dataValidation sqref="I2:I1000" showDropDown="0" showInputMessage="0" showErrorMessage="1" allowBlank="1" errorTitle="Valor fora da lista" error="Escolha uma opção da lista. As opções ficam na aba Listas." type="list">
      <formula1>=Listas!$D$2:$D$30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2" customWidth="1" min="3" max="3"/>
    <col width="11" customWidth="1" min="4" max="4"/>
    <col width="11" customWidth="1" min="5" max="5"/>
    <col width="13" customWidth="1" min="6" max="6"/>
    <col width="13" customWidth="1" min="7" max="7"/>
    <col width="9" customWidth="1" min="8" max="8"/>
  </cols>
  <sheetData>
    <row r="1" ht="30" customHeight="1">
      <c r="A1" s="6" t="inlineStr">
        <is>
          <t>Armário</t>
        </is>
      </c>
      <c r="B1" s="6" t="inlineStr">
        <is>
          <t>Nome</t>
        </is>
      </c>
      <c r="C1" s="6" t="inlineStr">
        <is>
          <t>Largura (m)</t>
        </is>
      </c>
      <c r="D1" s="6" t="inlineStr">
        <is>
          <t>Altura (m)</t>
        </is>
      </c>
      <c r="E1" s="6" t="inlineStr">
        <is>
          <t>Fundo (m)</t>
        </is>
      </c>
      <c r="F1" s="6" t="inlineStr">
        <is>
          <t>Posição X (m)</t>
        </is>
      </c>
      <c r="G1" s="6" t="inlineStr">
        <is>
          <t>Posição Z (m)</t>
        </is>
      </c>
      <c r="H1" s="6" t="inlineStr">
        <is>
          <t>Giro (°)</t>
        </is>
      </c>
    </row>
    <row r="2">
      <c r="A2" t="inlineStr">
        <is>
          <t>Armário 1</t>
        </is>
      </c>
      <c r="B2" t="inlineStr"/>
      <c r="C2" s="7" t="n">
        <v>0.9</v>
      </c>
      <c r="D2" s="7" t="n">
        <v>1.9</v>
      </c>
      <c r="E2" s="7" t="n">
        <v>0.45</v>
      </c>
      <c r="F2" s="7" t="n">
        <v>0</v>
      </c>
      <c r="G2" s="7" t="n">
        <v>0</v>
      </c>
      <c r="H2" t="n">
        <v>0</v>
      </c>
    </row>
    <row r="3">
      <c r="A3" t="inlineStr">
        <is>
          <t>Armário 2</t>
        </is>
      </c>
      <c r="B3" t="inlineStr"/>
      <c r="C3" s="7" t="n">
        <v>0.9</v>
      </c>
      <c r="D3" s="7" t="n">
        <v>1.9</v>
      </c>
      <c r="E3" s="7" t="n">
        <v>0.45</v>
      </c>
      <c r="F3" s="7" t="n">
        <v>1</v>
      </c>
      <c r="G3" s="7" t="n">
        <v>0</v>
      </c>
      <c r="H3" t="n">
        <v>0</v>
      </c>
    </row>
    <row r="4">
      <c r="A4" t="inlineStr">
        <is>
          <t>Armário 3</t>
        </is>
      </c>
      <c r="B4" t="inlineStr"/>
      <c r="C4" s="7" t="n">
        <v>0.9</v>
      </c>
      <c r="D4" s="7" t="n">
        <v>1.9</v>
      </c>
      <c r="E4" s="7" t="n">
        <v>0.45</v>
      </c>
      <c r="F4" s="7" t="n">
        <v>2</v>
      </c>
      <c r="G4" s="7" t="n">
        <v>0</v>
      </c>
      <c r="H4" t="n">
        <v>0</v>
      </c>
    </row>
    <row r="5">
      <c r="A5" t="inlineStr">
        <is>
          <t>Armário 4</t>
        </is>
      </c>
      <c r="B5" t="inlineStr"/>
      <c r="C5" s="7" t="n">
        <v>0.9</v>
      </c>
      <c r="D5" s="7" t="n">
        <v>1.9</v>
      </c>
      <c r="E5" s="7" t="n">
        <v>0.45</v>
      </c>
      <c r="F5" s="7" t="n">
        <v>3</v>
      </c>
      <c r="G5" s="7" t="n">
        <v>0</v>
      </c>
      <c r="H5" t="n">
        <v>0</v>
      </c>
    </row>
    <row r="6">
      <c r="A6" t="inlineStr">
        <is>
          <t>Armário 5</t>
        </is>
      </c>
      <c r="B6" t="inlineStr"/>
      <c r="C6" s="7" t="n">
        <v>0.9</v>
      </c>
      <c r="D6" s="7" t="n">
        <v>1.9</v>
      </c>
      <c r="E6" s="7" t="n">
        <v>0.45</v>
      </c>
      <c r="F6" s="7" t="n">
        <v>4</v>
      </c>
      <c r="G6" s="7" t="n">
        <v>0</v>
      </c>
      <c r="H6" t="n">
        <v>0</v>
      </c>
    </row>
  </sheetData>
  <dataValidations count="2">
    <dataValidation sqref="A2:A50" showDropDown="0" showInputMessage="0" showErrorMessage="1" allowBlank="1" errorTitle="Valor fora da lista" error="Escolha uma opção da lista. As opções ficam na aba Listas." type="list">
      <formula1>=Listas!$A$2:$A$30</formula1>
    </dataValidation>
    <dataValidation sqref="H2:H50" showDropDown="0" showInputMessage="0" showErrorMessage="0" allowBlank="1" type="list">
      <formula1>"0,90,180,270"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3" customWidth="1" min="3" max="3"/>
    <col width="10" customWidth="1" min="4" max="4"/>
    <col width="16" customWidth="1" min="5" max="5"/>
  </cols>
  <sheetData>
    <row r="1" ht="30" customHeight="1">
      <c r="A1" s="6" t="inlineStr">
        <is>
          <t>Armário</t>
        </is>
      </c>
      <c r="B1" s="6" t="inlineStr">
        <is>
          <t>Nível (1 = topo)</t>
        </is>
      </c>
      <c r="C1" s="6" t="inlineStr">
        <is>
          <t>Tipo</t>
        </is>
      </c>
      <c r="D1" s="6" t="inlineStr">
        <is>
          <t>Divisões</t>
        </is>
      </c>
      <c r="E1" s="6" t="inlineStr">
        <is>
          <t>Código</t>
        </is>
      </c>
    </row>
    <row r="2">
      <c r="A2" t="inlineStr">
        <is>
          <t>Armário 1</t>
        </is>
      </c>
      <c r="B2" t="n">
        <v>1</v>
      </c>
      <c r="C2" t="inlineStr">
        <is>
          <t>Prateleira</t>
        </is>
      </c>
      <c r="D2" t="n">
        <v>1</v>
      </c>
      <c r="E2" s="8">
        <f>IF(C2="","",IF(C2="Gaveta","G","P")&amp;COUNTIFS(A$2:A2,A2,C$2:C2,C2))</f>
        <v/>
      </c>
    </row>
    <row r="3">
      <c r="A3" t="inlineStr">
        <is>
          <t>Armário 1</t>
        </is>
      </c>
      <c r="B3" t="n">
        <v>2</v>
      </c>
      <c r="C3" t="inlineStr">
        <is>
          <t>Prateleira</t>
        </is>
      </c>
      <c r="D3" t="n">
        <v>2</v>
      </c>
      <c r="E3" s="8">
        <f>IF(C3="","",IF(C3="Gaveta","G","P")&amp;COUNTIFS(A$2:A3,A3,C$2:C3,C3))</f>
        <v/>
      </c>
    </row>
    <row r="4">
      <c r="A4" t="inlineStr">
        <is>
          <t>Armário 1</t>
        </is>
      </c>
      <c r="B4" t="n">
        <v>3</v>
      </c>
      <c r="C4" t="inlineStr">
        <is>
          <t>Prateleira</t>
        </is>
      </c>
      <c r="D4" t="n">
        <v>1</v>
      </c>
      <c r="E4" s="8">
        <f>IF(C4="","",IF(C4="Gaveta","G","P")&amp;COUNTIFS(A$2:A4,A4,C$2:C4,C4))</f>
        <v/>
      </c>
    </row>
    <row r="5">
      <c r="A5" t="inlineStr">
        <is>
          <t>Armário 1</t>
        </is>
      </c>
      <c r="B5" t="n">
        <v>4</v>
      </c>
      <c r="C5" t="inlineStr">
        <is>
          <t>Gaveta</t>
        </is>
      </c>
      <c r="D5" t="n">
        <v>1</v>
      </c>
      <c r="E5" s="8">
        <f>IF(C5="","",IF(C5="Gaveta","G","P")&amp;COUNTIFS(A$2:A5,A5,C$2:C5,C5))</f>
        <v/>
      </c>
    </row>
    <row r="6">
      <c r="A6" t="inlineStr">
        <is>
          <t>Armário 1</t>
        </is>
      </c>
      <c r="B6" t="n">
        <v>5</v>
      </c>
      <c r="C6" t="inlineStr">
        <is>
          <t>Gaveta</t>
        </is>
      </c>
      <c r="D6" t="n">
        <v>1</v>
      </c>
      <c r="E6" s="8">
        <f>IF(C6="","",IF(C6="Gaveta","G","P")&amp;COUNTIFS(A$2:A6,A6,C$2:C6,C6))</f>
        <v/>
      </c>
    </row>
    <row r="7">
      <c r="A7" t="inlineStr">
        <is>
          <t>Armário 2</t>
        </is>
      </c>
      <c r="B7" t="n">
        <v>1</v>
      </c>
      <c r="C7" t="inlineStr">
        <is>
          <t>Prateleira</t>
        </is>
      </c>
      <c r="D7" t="n">
        <v>1</v>
      </c>
      <c r="E7" s="8">
        <f>IF(C7="","",IF(C7="Gaveta","G","P")&amp;COUNTIFS(A$2:A7,A7,C$2:C7,C7))</f>
        <v/>
      </c>
    </row>
    <row r="8">
      <c r="A8" t="inlineStr">
        <is>
          <t>Armário 2</t>
        </is>
      </c>
      <c r="B8" t="n">
        <v>2</v>
      </c>
      <c r="C8" t="inlineStr">
        <is>
          <t>Prateleira</t>
        </is>
      </c>
      <c r="D8" t="n">
        <v>2</v>
      </c>
      <c r="E8" s="8">
        <f>IF(C8="","",IF(C8="Gaveta","G","P")&amp;COUNTIFS(A$2:A8,A8,C$2:C8,C8))</f>
        <v/>
      </c>
    </row>
    <row r="9">
      <c r="A9" t="inlineStr">
        <is>
          <t>Armário 2</t>
        </is>
      </c>
      <c r="B9" t="n">
        <v>3</v>
      </c>
      <c r="C9" t="inlineStr">
        <is>
          <t>Prateleira</t>
        </is>
      </c>
      <c r="D9" t="n">
        <v>1</v>
      </c>
      <c r="E9" s="8">
        <f>IF(C9="","",IF(C9="Gaveta","G","P")&amp;COUNTIFS(A$2:A9,A9,C$2:C9,C9))</f>
        <v/>
      </c>
    </row>
    <row r="10">
      <c r="A10" t="inlineStr">
        <is>
          <t>Armário 2</t>
        </is>
      </c>
      <c r="B10" t="n">
        <v>4</v>
      </c>
      <c r="C10" t="inlineStr">
        <is>
          <t>Gaveta</t>
        </is>
      </c>
      <c r="D10" t="n">
        <v>1</v>
      </c>
      <c r="E10" s="8">
        <f>IF(C10="","",IF(C10="Gaveta","G","P")&amp;COUNTIFS(A$2:A10,A10,C$2:C10,C10))</f>
        <v/>
      </c>
    </row>
    <row r="11">
      <c r="A11" t="inlineStr">
        <is>
          <t>Armário 2</t>
        </is>
      </c>
      <c r="B11" t="n">
        <v>5</v>
      </c>
      <c r="C11" t="inlineStr">
        <is>
          <t>Gaveta</t>
        </is>
      </c>
      <c r="D11" t="n">
        <v>1</v>
      </c>
      <c r="E11" s="8">
        <f>IF(C11="","",IF(C11="Gaveta","G","P")&amp;COUNTIFS(A$2:A11,A11,C$2:C11,C11))</f>
        <v/>
      </c>
    </row>
    <row r="12">
      <c r="A12" t="inlineStr">
        <is>
          <t>Armário 3</t>
        </is>
      </c>
      <c r="B12" t="n">
        <v>1</v>
      </c>
      <c r="C12" t="inlineStr">
        <is>
          <t>Prateleira</t>
        </is>
      </c>
      <c r="D12" t="n">
        <v>1</v>
      </c>
      <c r="E12" s="8">
        <f>IF(C12="","",IF(C12="Gaveta","G","P")&amp;COUNTIFS(A$2:A12,A12,C$2:C12,C12))</f>
        <v/>
      </c>
    </row>
    <row r="13">
      <c r="A13" t="inlineStr">
        <is>
          <t>Armário 3</t>
        </is>
      </c>
      <c r="B13" t="n">
        <v>2</v>
      </c>
      <c r="C13" t="inlineStr">
        <is>
          <t>Prateleira</t>
        </is>
      </c>
      <c r="D13" t="n">
        <v>2</v>
      </c>
      <c r="E13" s="8">
        <f>IF(C13="","",IF(C13="Gaveta","G","P")&amp;COUNTIFS(A$2:A13,A13,C$2:C13,C13))</f>
        <v/>
      </c>
    </row>
    <row r="14">
      <c r="A14" t="inlineStr">
        <is>
          <t>Armário 3</t>
        </is>
      </c>
      <c r="B14" t="n">
        <v>3</v>
      </c>
      <c r="C14" t="inlineStr">
        <is>
          <t>Prateleira</t>
        </is>
      </c>
      <c r="D14" t="n">
        <v>1</v>
      </c>
      <c r="E14" s="8">
        <f>IF(C14="","",IF(C14="Gaveta","G","P")&amp;COUNTIFS(A$2:A14,A14,C$2:C14,C14))</f>
        <v/>
      </c>
    </row>
    <row r="15">
      <c r="A15" t="inlineStr">
        <is>
          <t>Armário 3</t>
        </is>
      </c>
      <c r="B15" t="n">
        <v>4</v>
      </c>
      <c r="C15" t="inlineStr">
        <is>
          <t>Gaveta</t>
        </is>
      </c>
      <c r="D15" t="n">
        <v>1</v>
      </c>
      <c r="E15" s="8">
        <f>IF(C15="","",IF(C15="Gaveta","G","P")&amp;COUNTIFS(A$2:A15,A15,C$2:C15,C15))</f>
        <v/>
      </c>
    </row>
    <row r="16">
      <c r="A16" t="inlineStr">
        <is>
          <t>Armário 3</t>
        </is>
      </c>
      <c r="B16" t="n">
        <v>5</v>
      </c>
      <c r="C16" t="inlineStr">
        <is>
          <t>Gaveta</t>
        </is>
      </c>
      <c r="D16" t="n">
        <v>1</v>
      </c>
      <c r="E16" s="8">
        <f>IF(C16="","",IF(C16="Gaveta","G","P")&amp;COUNTIFS(A$2:A16,A16,C$2:C16,C16))</f>
        <v/>
      </c>
    </row>
    <row r="17">
      <c r="A17" t="inlineStr">
        <is>
          <t>Armário 4</t>
        </is>
      </c>
      <c r="B17" t="n">
        <v>1</v>
      </c>
      <c r="C17" t="inlineStr">
        <is>
          <t>Prateleira</t>
        </is>
      </c>
      <c r="D17" t="n">
        <v>1</v>
      </c>
      <c r="E17" s="8">
        <f>IF(C17="","",IF(C17="Gaveta","G","P")&amp;COUNTIFS(A$2:A17,A17,C$2:C17,C17))</f>
        <v/>
      </c>
    </row>
    <row r="18">
      <c r="A18" t="inlineStr">
        <is>
          <t>Armário 4</t>
        </is>
      </c>
      <c r="B18" t="n">
        <v>2</v>
      </c>
      <c r="C18" t="inlineStr">
        <is>
          <t>Prateleira</t>
        </is>
      </c>
      <c r="D18" t="n">
        <v>2</v>
      </c>
      <c r="E18" s="8">
        <f>IF(C18="","",IF(C18="Gaveta","G","P")&amp;COUNTIFS(A$2:A18,A18,C$2:C18,C18))</f>
        <v/>
      </c>
    </row>
    <row r="19">
      <c r="A19" t="inlineStr">
        <is>
          <t>Armário 4</t>
        </is>
      </c>
      <c r="B19" t="n">
        <v>3</v>
      </c>
      <c r="C19" t="inlineStr">
        <is>
          <t>Prateleira</t>
        </is>
      </c>
      <c r="D19" t="n">
        <v>1</v>
      </c>
      <c r="E19" s="8">
        <f>IF(C19="","",IF(C19="Gaveta","G","P")&amp;COUNTIFS(A$2:A19,A19,C$2:C19,C19))</f>
        <v/>
      </c>
    </row>
    <row r="20">
      <c r="A20" t="inlineStr">
        <is>
          <t>Armário 4</t>
        </is>
      </c>
      <c r="B20" t="n">
        <v>4</v>
      </c>
      <c r="C20" t="inlineStr">
        <is>
          <t>Gaveta</t>
        </is>
      </c>
      <c r="D20" t="n">
        <v>1</v>
      </c>
      <c r="E20" s="8">
        <f>IF(C20="","",IF(C20="Gaveta","G","P")&amp;COUNTIFS(A$2:A20,A20,C$2:C20,C20))</f>
        <v/>
      </c>
    </row>
    <row r="21">
      <c r="A21" t="inlineStr">
        <is>
          <t>Armário 4</t>
        </is>
      </c>
      <c r="B21" t="n">
        <v>5</v>
      </c>
      <c r="C21" t="inlineStr">
        <is>
          <t>Gaveta</t>
        </is>
      </c>
      <c r="D21" t="n">
        <v>1</v>
      </c>
      <c r="E21" s="8">
        <f>IF(C21="","",IF(C21="Gaveta","G","P")&amp;COUNTIFS(A$2:A21,A21,C$2:C21,C21))</f>
        <v/>
      </c>
    </row>
    <row r="22">
      <c r="A22" t="inlineStr">
        <is>
          <t>Armário 5</t>
        </is>
      </c>
      <c r="B22" t="n">
        <v>1</v>
      </c>
      <c r="C22" t="inlineStr">
        <is>
          <t>Prateleira</t>
        </is>
      </c>
      <c r="D22" t="n">
        <v>1</v>
      </c>
      <c r="E22" s="8">
        <f>IF(C22="","",IF(C22="Gaveta","G","P")&amp;COUNTIFS(A$2:A22,A22,C$2:C22,C22))</f>
        <v/>
      </c>
    </row>
    <row r="23">
      <c r="A23" t="inlineStr">
        <is>
          <t>Armário 5</t>
        </is>
      </c>
      <c r="B23" t="n">
        <v>2</v>
      </c>
      <c r="C23" t="inlineStr">
        <is>
          <t>Prateleira</t>
        </is>
      </c>
      <c r="D23" t="n">
        <v>2</v>
      </c>
      <c r="E23" s="8">
        <f>IF(C23="","",IF(C23="Gaveta","G","P")&amp;COUNTIFS(A$2:A23,A23,C$2:C23,C23))</f>
        <v/>
      </c>
    </row>
    <row r="24">
      <c r="A24" t="inlineStr">
        <is>
          <t>Armário 5</t>
        </is>
      </c>
      <c r="B24" t="n">
        <v>3</v>
      </c>
      <c r="C24" t="inlineStr">
        <is>
          <t>Prateleira</t>
        </is>
      </c>
      <c r="D24" t="n">
        <v>1</v>
      </c>
      <c r="E24" s="8">
        <f>IF(C24="","",IF(C24="Gaveta","G","P")&amp;COUNTIFS(A$2:A24,A24,C$2:C24,C24))</f>
        <v/>
      </c>
    </row>
    <row r="25">
      <c r="A25" t="inlineStr">
        <is>
          <t>Armário 5</t>
        </is>
      </c>
      <c r="B25" t="n">
        <v>4</v>
      </c>
      <c r="C25" t="inlineStr">
        <is>
          <t>Gaveta</t>
        </is>
      </c>
      <c r="D25" t="n">
        <v>1</v>
      </c>
      <c r="E25" s="8">
        <f>IF(C25="","",IF(C25="Gaveta","G","P")&amp;COUNTIFS(A$2:A25,A25,C$2:C25,C25))</f>
        <v/>
      </c>
    </row>
    <row r="26">
      <c r="A26" t="inlineStr">
        <is>
          <t>Armário 5</t>
        </is>
      </c>
      <c r="B26" t="n">
        <v>5</v>
      </c>
      <c r="C26" t="inlineStr">
        <is>
          <t>Gaveta</t>
        </is>
      </c>
      <c r="D26" t="n">
        <v>1</v>
      </c>
      <c r="E26" s="8">
        <f>IF(C26="","",IF(C26="Gaveta","G","P")&amp;COUNTIFS(A$2:A26,A26,C$2:C26,C26))</f>
        <v/>
      </c>
    </row>
    <row r="27">
      <c r="E27" s="8">
        <f>IF(C27="","",IF(C27="Gaveta","G","P")&amp;COUNTIFS(A$2:A27,A27,C$2:C27,C27))</f>
        <v/>
      </c>
    </row>
    <row r="28">
      <c r="E28" s="8">
        <f>IF(C28="","",IF(C28="Gaveta","G","P")&amp;COUNTIFS(A$2:A28,A28,C$2:C28,C28))</f>
        <v/>
      </c>
    </row>
    <row r="29">
      <c r="E29" s="8">
        <f>IF(C29="","",IF(C29="Gaveta","G","P")&amp;COUNTIFS(A$2:A29,A29,C$2:C29,C29))</f>
        <v/>
      </c>
    </row>
    <row r="30">
      <c r="E30" s="8">
        <f>IF(C30="","",IF(C30="Gaveta","G","P")&amp;COUNTIFS(A$2:A30,A30,C$2:C30,C30))</f>
        <v/>
      </c>
    </row>
    <row r="31">
      <c r="E31" s="8">
        <f>IF(C31="","",IF(C31="Gaveta","G","P")&amp;COUNTIFS(A$2:A31,A31,C$2:C31,C31))</f>
        <v/>
      </c>
    </row>
    <row r="32">
      <c r="E32" s="8">
        <f>IF(C32="","",IF(C32="Gaveta","G","P")&amp;COUNTIFS(A$2:A32,A32,C$2:C32,C32))</f>
        <v/>
      </c>
    </row>
    <row r="33">
      <c r="E33" s="8">
        <f>IF(C33="","",IF(C33="Gaveta","G","P")&amp;COUNTIFS(A$2:A33,A33,C$2:C33,C33))</f>
        <v/>
      </c>
    </row>
    <row r="34">
      <c r="E34" s="8">
        <f>IF(C34="","",IF(C34="Gaveta","G","P")&amp;COUNTIFS(A$2:A34,A34,C$2:C34,C34))</f>
        <v/>
      </c>
    </row>
    <row r="35">
      <c r="E35" s="8">
        <f>IF(C35="","",IF(C35="Gaveta","G","P")&amp;COUNTIFS(A$2:A35,A35,C$2:C35,C35))</f>
        <v/>
      </c>
    </row>
    <row r="36">
      <c r="E36" s="8">
        <f>IF(C36="","",IF(C36="Gaveta","G","P")&amp;COUNTIFS(A$2:A36,A36,C$2:C36,C36))</f>
        <v/>
      </c>
    </row>
    <row r="37">
      <c r="E37" s="8">
        <f>IF(C37="","",IF(C37="Gaveta","G","P")&amp;COUNTIFS(A$2:A37,A37,C$2:C37,C37))</f>
        <v/>
      </c>
    </row>
    <row r="38">
      <c r="E38" s="8">
        <f>IF(C38="","",IF(C38="Gaveta","G","P")&amp;COUNTIFS(A$2:A38,A38,C$2:C38,C38))</f>
        <v/>
      </c>
    </row>
    <row r="39">
      <c r="E39" s="8">
        <f>IF(C39="","",IF(C39="Gaveta","G","P")&amp;COUNTIFS(A$2:A39,A39,C$2:C39,C39))</f>
        <v/>
      </c>
    </row>
    <row r="40">
      <c r="E40" s="8">
        <f>IF(C40="","",IF(C40="Gaveta","G","P")&amp;COUNTIFS(A$2:A40,A40,C$2:C40,C40))</f>
        <v/>
      </c>
    </row>
    <row r="41">
      <c r="E41" s="8">
        <f>IF(C41="","",IF(C41="Gaveta","G","P")&amp;COUNTIFS(A$2:A41,A41,C$2:C41,C41))</f>
        <v/>
      </c>
    </row>
    <row r="42">
      <c r="E42" s="8">
        <f>IF(C42="","",IF(C42="Gaveta","G","P")&amp;COUNTIFS(A$2:A42,A42,C$2:C42,C42))</f>
        <v/>
      </c>
    </row>
    <row r="43">
      <c r="E43" s="8">
        <f>IF(C43="","",IF(C43="Gaveta","G","P")&amp;COUNTIFS(A$2:A43,A43,C$2:C43,C43))</f>
        <v/>
      </c>
    </row>
    <row r="44">
      <c r="E44" s="8">
        <f>IF(C44="","",IF(C44="Gaveta","G","P")&amp;COUNTIFS(A$2:A44,A44,C$2:C44,C44))</f>
        <v/>
      </c>
    </row>
    <row r="45">
      <c r="E45" s="8">
        <f>IF(C45="","",IF(C45="Gaveta","G","P")&amp;COUNTIFS(A$2:A45,A45,C$2:C45,C45))</f>
        <v/>
      </c>
    </row>
    <row r="46">
      <c r="E46" s="8">
        <f>IF(C46="","",IF(C46="Gaveta","G","P")&amp;COUNTIFS(A$2:A46,A46,C$2:C46,C46))</f>
        <v/>
      </c>
    </row>
    <row r="47">
      <c r="E47" s="8">
        <f>IF(C47="","",IF(C47="Gaveta","G","P")&amp;COUNTIFS(A$2:A47,A47,C$2:C47,C47))</f>
        <v/>
      </c>
    </row>
    <row r="48">
      <c r="E48" s="8">
        <f>IF(C48="","",IF(C48="Gaveta","G","P")&amp;COUNTIFS(A$2:A48,A48,C$2:C48,C48))</f>
        <v/>
      </c>
    </row>
    <row r="49">
      <c r="E49" s="8">
        <f>IF(C49="","",IF(C49="Gaveta","G","P")&amp;COUNTIFS(A$2:A49,A49,C$2:C49,C49))</f>
        <v/>
      </c>
    </row>
    <row r="50">
      <c r="E50" s="8">
        <f>IF(C50="","",IF(C50="Gaveta","G","P")&amp;COUNTIFS(A$2:A50,A50,C$2:C50,C50))</f>
        <v/>
      </c>
    </row>
    <row r="51">
      <c r="E51" s="8">
        <f>IF(C51="","",IF(C51="Gaveta","G","P")&amp;COUNTIFS(A$2:A51,A51,C$2:C51,C51))</f>
        <v/>
      </c>
    </row>
    <row r="52">
      <c r="E52" s="8">
        <f>IF(C52="","",IF(C52="Gaveta","G","P")&amp;COUNTIFS(A$2:A52,A52,C$2:C52,C52))</f>
        <v/>
      </c>
    </row>
    <row r="53">
      <c r="E53" s="8">
        <f>IF(C53="","",IF(C53="Gaveta","G","P")&amp;COUNTIFS(A$2:A53,A53,C$2:C53,C53))</f>
        <v/>
      </c>
    </row>
    <row r="54">
      <c r="E54" s="8">
        <f>IF(C54="","",IF(C54="Gaveta","G","P")&amp;COUNTIFS(A$2:A54,A54,C$2:C54,C54))</f>
        <v/>
      </c>
    </row>
    <row r="55">
      <c r="E55" s="8">
        <f>IF(C55="","",IF(C55="Gaveta","G","P")&amp;COUNTIFS(A$2:A55,A55,C$2:C55,C55))</f>
        <v/>
      </c>
    </row>
    <row r="56">
      <c r="E56" s="8">
        <f>IF(C56="","",IF(C56="Gaveta","G","P")&amp;COUNTIFS(A$2:A56,A56,C$2:C56,C56))</f>
        <v/>
      </c>
    </row>
    <row r="57">
      <c r="E57" s="8">
        <f>IF(C57="","",IF(C57="Gaveta","G","P")&amp;COUNTIFS(A$2:A57,A57,C$2:C57,C57))</f>
        <v/>
      </c>
    </row>
    <row r="58">
      <c r="E58" s="8">
        <f>IF(C58="","",IF(C58="Gaveta","G","P")&amp;COUNTIFS(A$2:A58,A58,C$2:C58,C58))</f>
        <v/>
      </c>
    </row>
    <row r="59">
      <c r="E59" s="8">
        <f>IF(C59="","",IF(C59="Gaveta","G","P")&amp;COUNTIFS(A$2:A59,A59,C$2:C59,C59))</f>
        <v/>
      </c>
    </row>
    <row r="60">
      <c r="E60" s="8">
        <f>IF(C60="","",IF(C60="Gaveta","G","P")&amp;COUNTIFS(A$2:A60,A60,C$2:C60,C60))</f>
        <v/>
      </c>
    </row>
  </sheetData>
  <dataValidations count="3">
    <dataValidation sqref="A2:A60" showDropDown="0" showInputMessage="0" showErrorMessage="1" allowBlank="1" errorTitle="Valor fora da lista" error="Escolha uma opção da lista. As opções ficam na aba Listas." type="list">
      <formula1>=Listas!$A$2:$A$30</formula1>
    </dataValidation>
    <dataValidation sqref="C2:C60" showDropDown="0" showInputMessage="0" showErrorMessage="0" allowBlank="1" type="list">
      <formula1>"Prateleira,Gaveta"</formula1>
    </dataValidation>
    <dataValidation sqref="D2:D60" showDropDown="0" showInputMessage="0" showErrorMessage="1" allowBlank="1" error="Use um número de 1 a 6." type="whole" operator="between">
      <formula1>1</formula1>
      <formula2>6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6" customWidth="1" min="3" max="3"/>
    <col width="20" customWidth="1" min="4" max="4"/>
    <col width="10" customWidth="1" min="5" max="5"/>
  </cols>
  <sheetData>
    <row r="1" ht="30" customHeight="1">
      <c r="A1" s="6" t="inlineStr">
        <is>
          <t>Armários</t>
        </is>
      </c>
      <c r="B1" s="6" t="inlineStr">
        <is>
          <t>Classificação</t>
        </is>
      </c>
      <c r="C1" s="6" t="inlineStr">
        <is>
          <t>Categoria</t>
        </is>
      </c>
      <c r="D1" s="6" t="inlineStr">
        <is>
          <t>Estado</t>
        </is>
      </c>
      <c r="E1" s="6" t="inlineStr">
        <is>
          <t>Unidade</t>
        </is>
      </c>
    </row>
    <row r="2">
      <c r="A2" t="inlineStr">
        <is>
          <t>Armário 1</t>
        </is>
      </c>
      <c r="B2" t="inlineStr">
        <is>
          <t>Mecânica</t>
        </is>
      </c>
      <c r="C2" t="inlineStr">
        <is>
          <t>ESC</t>
        </is>
      </c>
      <c r="D2" t="inlineStr">
        <is>
          <t>Novo</t>
        </is>
      </c>
      <c r="E2" t="inlineStr">
        <is>
          <t>un</t>
        </is>
      </c>
    </row>
    <row r="3">
      <c r="A3" t="inlineStr">
        <is>
          <t>Armário 2</t>
        </is>
      </c>
      <c r="B3" t="inlineStr">
        <is>
          <t>Eletrônica</t>
        </is>
      </c>
      <c r="C3" t="inlineStr">
        <is>
          <t>Motores</t>
        </is>
      </c>
      <c r="D3" t="inlineStr">
        <is>
          <t>Usado (funcionando)</t>
        </is>
      </c>
      <c r="E3" t="inlineStr">
        <is>
          <t>par</t>
        </is>
      </c>
    </row>
    <row r="4">
      <c r="A4" t="inlineStr">
        <is>
          <t>Armário 3</t>
        </is>
      </c>
      <c r="B4" t="inlineStr">
        <is>
          <t>Projeto antigo</t>
        </is>
      </c>
      <c r="C4" t="inlineStr">
        <is>
          <t>Baterias</t>
        </is>
      </c>
      <c r="D4" t="inlineStr">
        <is>
          <t>Não testado</t>
        </is>
      </c>
      <c r="E4" t="inlineStr">
        <is>
          <t>m</t>
        </is>
      </c>
    </row>
    <row r="5">
      <c r="A5" t="inlineStr">
        <is>
          <t>Armário 4</t>
        </is>
      </c>
      <c r="C5" t="inlineStr">
        <is>
          <t>Carregadores</t>
        </is>
      </c>
      <c r="D5" t="inlineStr">
        <is>
          <t>Com defeito</t>
        </is>
      </c>
      <c r="E5" t="inlineStr">
        <is>
          <t>kit</t>
        </is>
      </c>
    </row>
    <row r="6">
      <c r="A6" t="inlineStr">
        <is>
          <t>Armário 5</t>
        </is>
      </c>
      <c r="C6" t="inlineStr">
        <is>
          <t>Conectores</t>
        </is>
      </c>
      <c r="E6" t="inlineStr">
        <is>
          <t>rolo</t>
        </is>
      </c>
    </row>
    <row r="7">
      <c r="C7" t="inlineStr">
        <is>
          <t>Fios e cabos</t>
        </is>
      </c>
      <c r="E7" t="inlineStr">
        <is>
          <t>pacote</t>
        </is>
      </c>
    </row>
    <row r="8">
      <c r="C8" t="inlineStr">
        <is>
          <t>Componentes (capacitores, resistores...)</t>
        </is>
      </c>
      <c r="E8" t="inlineStr">
        <is>
          <t>caixa</t>
        </is>
      </c>
    </row>
    <row r="9">
      <c r="C9" t="inlineStr">
        <is>
          <t>Placas e controladores</t>
        </is>
      </c>
    </row>
    <row r="10">
      <c r="C10" t="inlineStr">
        <is>
          <t>Rádio e receptor</t>
        </is>
      </c>
    </row>
    <row r="11">
      <c r="C11" t="inlineStr">
        <is>
          <t>Sensores</t>
        </is>
      </c>
    </row>
    <row r="12">
      <c r="C12" t="inlineStr">
        <is>
          <t>Parafusos, porcas e arruelas</t>
        </is>
      </c>
    </row>
    <row r="13">
      <c r="C13" t="inlineStr">
        <is>
          <t>Rolamentos e buchas</t>
        </is>
      </c>
    </row>
    <row r="14">
      <c r="C14" t="inlineStr">
        <is>
          <t>Eixos e acoplamentos</t>
        </is>
      </c>
    </row>
    <row r="15">
      <c r="C15" t="inlineStr">
        <is>
          <t>Rodas</t>
        </is>
      </c>
    </row>
    <row r="16">
      <c r="C16" t="inlineStr">
        <is>
          <t>Chapas e perfis</t>
        </is>
      </c>
    </row>
    <row r="17">
      <c r="C17" t="inlineStr">
        <is>
          <t>Filamento</t>
        </is>
      </c>
    </row>
    <row r="18">
      <c r="C18" t="inlineStr">
        <is>
          <t>Peças impressas</t>
        </is>
      </c>
    </row>
    <row r="19">
      <c r="C19" t="inlineStr">
        <is>
          <t>Ferramentas</t>
        </is>
      </c>
    </row>
    <row r="20">
      <c r="C20" t="inlineStr">
        <is>
          <t>Consumíveis</t>
        </is>
      </c>
    </row>
    <row r="21">
      <c r="C21" t="inlineStr">
        <is>
          <t>Outros</t>
        </is>
      </c>
    </row>
  </sheetData>
  <pageMargins left="0.75" right="0.75" top="1" bottom="1" header="0.5" footer="0.5"/>
</worksheet>
</file>